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dino\Downloads\"/>
    </mc:Choice>
  </mc:AlternateContent>
  <xr:revisionPtr revIDLastSave="0" documentId="13_ncr:1_{9754E10E-5416-4256-AB2D-55B48C54B6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 Budget" sheetId="1" r:id="rId1"/>
  </sheets>
  <definedNames>
    <definedName name="_xlnm.Print_Area" localSheetId="0">'Power Budget'!$A$1:$H$55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1" i="1"/>
  <c r="G9" i="1"/>
  <c r="G12" i="1"/>
  <c r="G14" i="1"/>
  <c r="G20" i="1"/>
  <c r="G28" i="1"/>
  <c r="G33" i="1"/>
  <c r="G41" i="1"/>
  <c r="G44" i="1" s="1"/>
  <c r="G24" i="1" l="1"/>
  <c r="G26" i="1" s="1"/>
  <c r="G29" i="1" s="1"/>
  <c r="G34" i="1"/>
  <c r="G48" i="1"/>
  <c r="G4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<sst xmlns="http://schemas.openxmlformats.org/spreadsheetml/2006/main" count="139" uniqueCount="74">
  <si>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</si>
  <si>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</si>
  <si>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</si>
  <si>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</si>
  <si>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</si>
  <si>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</si>
  <si>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</si>
  <si>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</si>
  <si>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</si>
  <si>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</si>
  <si>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</si>
  <si>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</si>
  <si>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</si>
  <si>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>Opamp</t>
  </si>
  <si>
    <t xml:space="preserve"> +5 to -5</t>
  </si>
  <si>
    <t>5V regulator</t>
  </si>
  <si>
    <t xml:space="preserve"> +5V - 35V</t>
  </si>
  <si>
    <t xml:space="preserve">Subtotal </t>
  </si>
  <si>
    <t>Safety Margin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</si>
  <si>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</si>
  <si>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</si>
  <si>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</si>
  <si>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</si>
  <si>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</si>
  <si>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</si>
  <si>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</si>
  <si>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</si>
  <si>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</si>
  <si>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>110VAC</t>
  </si>
  <si>
    <t>Power Rails Connected to External Power Source 1</t>
  </si>
  <si>
    <t>Total Remaining Current Available on External Power Source 1</t>
  </si>
  <si>
    <t>External Power Source 2</t>
  </si>
  <si>
    <t>Power Source 2 Selection</t>
  </si>
  <si>
    <t>Battery</t>
  </si>
  <si>
    <t xml:space="preserve"> +9V</t>
  </si>
  <si>
    <t>-9V</t>
  </si>
  <si>
    <t>Power Rails Connected to External Power Source 2</t>
  </si>
  <si>
    <t>Total Remaining Current Available on External Power Source 2</t>
  </si>
  <si>
    <t>Capacity
(mAh)</t>
  </si>
  <si>
    <t>Required
By
Regulators</t>
  </si>
  <si>
    <t>Battery Life</t>
  </si>
  <si>
    <t>hours</t>
  </si>
  <si>
    <t>External Supply Voltage should be determined by the dropout voltage for highest-voltage regulator (e.g., +14V for a +12V regulator).</t>
  </si>
  <si>
    <t>If you have multiple units in your design (e.g., a base unit and remote unit) then you need a separate power budget for each unit</t>
  </si>
  <si>
    <t>Supply Voltage Range</t>
  </si>
  <si>
    <t>Qty.</t>
  </si>
  <si>
    <t>Regulator</t>
  </si>
  <si>
    <t>Total Current
(mA)</t>
  </si>
  <si>
    <t>Absolute Maximum Current (mA)</t>
  </si>
  <si>
    <t>Notes:</t>
  </si>
  <si>
    <t>Calculated Battery Life</t>
  </si>
  <si>
    <t>Power Budget</t>
  </si>
  <si>
    <t>EGR 304 Cat-Toy</t>
  </si>
  <si>
    <t>Stellan, Joseph, Ramon, Samuel</t>
  </si>
  <si>
    <t>L7805ABV-DG</t>
  </si>
  <si>
    <t>Barrel Jack</t>
  </si>
  <si>
    <t>PJ-102AH</t>
  </si>
  <si>
    <t>MCP6004-I/P</t>
  </si>
  <si>
    <t xml:space="preserve"> +0 - 24V</t>
  </si>
  <si>
    <t>Transistor 2</t>
  </si>
  <si>
    <t>Transistor 1</t>
  </si>
  <si>
    <t>2N3904</t>
  </si>
  <si>
    <t>2N3906</t>
  </si>
  <si>
    <t xml:space="preserve"> +0 - 40V</t>
  </si>
  <si>
    <t>FR 8 - 8 OHM</t>
  </si>
  <si>
    <t>Speaker</t>
  </si>
  <si>
    <t>(Range)</t>
  </si>
  <si>
    <t>A1604 BK210J</t>
  </si>
  <si>
    <t>9V Battery</t>
  </si>
  <si>
    <t>+9V</t>
  </si>
  <si>
    <t xml:space="preserve"> 5V Regulator</t>
  </si>
  <si>
    <t>Microcontroller</t>
  </si>
  <si>
    <t>PIC18F57Q43</t>
  </si>
  <si>
    <t>+1.8-5.5V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</si>
</sst>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5" xfId="0" applyFont="1" applyBorder="1"/>
    <xf numFmtId="0" fontId="2" fillId="0" borderId="17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/>
    <xf numFmtId="0" fontId="2" fillId="0" borderId="19" xfId="0" applyFont="1" applyBorder="1" applyAlignment="1">
      <alignment horizontal="center"/>
    </xf>
    <xf numFmtId="9" fontId="2" fillId="0" borderId="19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20" xfId="0" applyFont="1" applyFill="1" applyBorder="1" applyAlignment="1">
      <alignment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left"/>
    </xf>
    <xf numFmtId="0" fontId="2" fillId="0" borderId="2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0" borderId="28" xfId="0" applyFont="1" applyBorder="1"/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2" fillId="0" borderId="25" xfId="0" applyFont="1" applyBorder="1"/>
    <xf numFmtId="0" fontId="2" fillId="0" borderId="27" xfId="0" applyFont="1" applyBorder="1"/>
    <xf numFmtId="0" fontId="2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3" fillId="3" borderId="1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0" fontId="2" fillId="0" borderId="37" xfId="0" applyFont="1" applyBorder="1" applyAlignment="1">
      <alignment wrapText="1"/>
    </xf>
    <xf numFmtId="0" fontId="2" fillId="0" borderId="38" xfId="0" applyFont="1" applyBorder="1"/>
    <xf numFmtId="0" fontId="2" fillId="4" borderId="27" xfId="0" applyFont="1" applyFill="1" applyBorder="1" applyAlignment="1">
      <alignment horizontal="left" wrapText="1"/>
    </xf>
    <xf numFmtId="0" fontId="2" fillId="0" borderId="39" xfId="0" applyFont="1" applyBorder="1"/>
    <xf numFmtId="0" fontId="5" fillId="2" borderId="12" xfId="0" applyFont="1" applyFill="1" applyBorder="1" applyAlignment="1">
      <alignment wrapText="1"/>
    </xf>
    <xf numFmtId="0" fontId="4" fillId="0" borderId="13" xfId="0" applyFont="1" applyBorder="1"/>
    <xf numFmtId="0" fontId="5" fillId="2" borderId="35" xfId="0" applyFont="1" applyFill="1" applyBorder="1"/>
    <xf numFmtId="0" fontId="2" fillId="0" borderId="32" xfId="0" applyFont="1" applyBorder="1"/>
    <xf numFmtId="0" fontId="2" fillId="0" borderId="23" xfId="0" applyFont="1" applyBorder="1"/>
    <xf numFmtId="0" fontId="2" fillId="0" borderId="13" xfId="0" quotePrefix="1" applyFont="1" applyBorder="1" applyAlignment="1">
      <alignment horizontal="center"/>
    </xf>
    <xf numFmtId="0" fontId="2" fillId="0" borderId="8" xfId="0" quotePrefix="1" applyFont="1" applyBorder="1" applyAlignment="1">
      <alignment horizontal="center"/>
    </xf>
    <xf numFmtId="49" fontId="5" fillId="0" borderId="4" xfId="0" applyNumberFormat="1" applyFont="1" applyBorder="1"/>
    <xf numFmtId="49" fontId="5" fillId="0" borderId="44" xfId="0" applyNumberFormat="1" applyFont="1" applyBorder="1"/>
    <xf numFmtId="49" fontId="5" fillId="0" borderId="31" xfId="0" applyNumberFormat="1" applyFont="1" applyBorder="1" applyAlignment="1">
      <alignment horizontal="right"/>
    </xf>
    <xf numFmtId="49" fontId="5" fillId="0" borderId="45" xfId="0" applyNumberFormat="1" applyFont="1" applyBorder="1" applyAlignment="1">
      <alignment horizontal="right"/>
    </xf>
    <xf numFmtId="0" fontId="1" fillId="5" borderId="0" xfId="0" applyFont="1" applyFill="1" applyAlignment="1">
      <alignment horizontal="center"/>
    </xf>
    <xf numFmtId="0" fontId="2" fillId="5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3" fillId="0" borderId="15" xfId="0" applyFont="1" applyBorder="1" applyAlignment="1">
      <alignment horizontal="left" vertical="center" wrapText="1"/>
    </xf>
    <xf numFmtId="0" fontId="4" fillId="0" borderId="15" xfId="0" applyFont="1" applyBorder="1"/>
    <xf numFmtId="0" fontId="4" fillId="0" borderId="25" xfId="0" applyFont="1" applyBorder="1"/>
    <xf numFmtId="49" fontId="5" fillId="0" borderId="33" xfId="0" applyNumberFormat="1" applyFont="1" applyBorder="1" applyAlignment="1">
      <alignment horizontal="right"/>
    </xf>
    <xf numFmtId="0" fontId="2" fillId="0" borderId="34" xfId="0" applyFont="1" applyBorder="1"/>
    <xf numFmtId="0" fontId="5" fillId="0" borderId="8" xfId="0" applyFont="1" applyBorder="1" applyAlignment="1">
      <alignment horizontal="right"/>
    </xf>
    <xf numFmtId="0" fontId="5" fillId="0" borderId="19" xfId="0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55"/>
  <sheetViews>
    <sheetView tabSelected="1" topLeftCell="A3" workbookViewId="0">
      <selection activeCell="I30" sqref="I30"/>
    </sheetView>
  </sheetViews>
  <sheetFormatPr defaultColWidth="13.5" defaultRowHeight="15.75" customHeight="1" x14ac:dyDescent="0.3"/>
  <cols>
    <col min="1" max="1" width="22.5" style="1" customWidth="1"/>
    <col min="2" max="2" width="20.09765625" style="1" customWidth="1"/>
    <col min="3" max="3" width="15.69921875" style="1" customWidth="1"/>
    <col min="4" max="4" width="11.5" style="1" customWidth="1"/>
    <col min="5" max="5" width="7.19921875" style="1" customWidth="1"/>
    <col min="6" max="6" width="12.3984375" style="5" customWidth="1"/>
    <col min="7" max="7" width="11.3984375" style="5" customWidth="1"/>
    <col min="8" max="8" width="9" style="5" customWidth="1"/>
    <col min="9" max="16384" width="13.5" style="1"/>
  </cols>
  <sheetData>
    <row r="1" spans="1:8" ht="30" customHeight="1" x14ac:dyDescent="0.6">
      <c r="A1" s="94" t="s">
        <v>51</v>
      </c>
      <c r="B1" s="95"/>
      <c r="C1" s="95"/>
      <c r="D1" s="95"/>
      <c r="E1" s="95"/>
      <c r="F1" s="95"/>
      <c r="G1" s="95"/>
      <c r="H1" s="95"/>
    </row>
    <row r="2" spans="1:8" ht="15" customHeight="1" x14ac:dyDescent="0.3">
      <c r="A2" s="10" t="s">
        <v>0</v>
      </c>
      <c r="B2" s="11">
        <v>203</v>
      </c>
      <c r="D2" s="2"/>
      <c r="E2" s="2"/>
    </row>
    <row r="3" spans="1:8" ht="15" customHeight="1" x14ac:dyDescent="0.3">
      <c r="A3" s="10" t="s">
        <v>1</v>
      </c>
      <c r="B3" s="12" t="s">
        <v>52</v>
      </c>
      <c r="C3" s="3"/>
      <c r="D3" s="2"/>
      <c r="E3" s="2"/>
      <c r="F3" s="2"/>
      <c r="G3" s="2"/>
      <c r="H3" s="2"/>
    </row>
    <row r="4" spans="1:8" ht="15" customHeight="1" x14ac:dyDescent="0.3">
      <c r="A4" s="10" t="s">
        <v>2</v>
      </c>
      <c r="B4" s="12" t="s">
        <v>53</v>
      </c>
      <c r="C4" s="3"/>
      <c r="D4" s="2"/>
      <c r="E4" s="2"/>
      <c r="F4" s="2"/>
      <c r="G4" s="2"/>
      <c r="H4" s="2"/>
    </row>
    <row r="5" spans="1:8" ht="15" customHeight="1" x14ac:dyDescent="0.3">
      <c r="A5" s="10" t="s">
        <v>3</v>
      </c>
      <c r="B5" s="12">
        <v>1</v>
      </c>
      <c r="C5" s="3"/>
      <c r="D5" s="2"/>
      <c r="E5" s="2"/>
      <c r="F5" s="2"/>
      <c r="G5" s="2"/>
      <c r="H5" s="2"/>
    </row>
    <row r="6" spans="1:8" ht="15" customHeight="1" x14ac:dyDescent="0.3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3">
      <c r="A7" s="96" t="s">
        <v>4</v>
      </c>
      <c r="B7" s="97"/>
      <c r="C7" s="97"/>
      <c r="D7" s="97"/>
      <c r="E7" s="97"/>
      <c r="F7" s="97"/>
      <c r="G7" s="97"/>
      <c r="H7" s="98"/>
    </row>
    <row r="8" spans="1:8" ht="47.4" thickBot="1" x14ac:dyDescent="0.35">
      <c r="A8" s="18" t="s">
        <v>5</v>
      </c>
      <c r="B8" s="19" t="s">
        <v>6</v>
      </c>
      <c r="C8" s="19" t="s">
        <v>7</v>
      </c>
      <c r="D8" s="20" t="s">
        <v>44</v>
      </c>
      <c r="E8" s="19" t="s">
        <v>45</v>
      </c>
      <c r="F8" s="20" t="s">
        <v>48</v>
      </c>
      <c r="G8" s="20" t="s">
        <v>47</v>
      </c>
      <c r="H8" s="19" t="s">
        <v>11</v>
      </c>
    </row>
    <row r="9" spans="1:8" ht="15" customHeight="1" x14ac:dyDescent="0.3">
      <c r="A9" s="4"/>
      <c r="B9" s="24" t="s">
        <v>68</v>
      </c>
      <c r="C9" s="25" t="s">
        <v>67</v>
      </c>
      <c r="D9" s="88" t="s">
        <v>35</v>
      </c>
      <c r="E9" s="26">
        <v>1</v>
      </c>
      <c r="F9" s="26">
        <v>300</v>
      </c>
      <c r="G9" s="26">
        <f t="shared" ref="G9:G14" si="0">E9*F9</f>
        <v>300</v>
      </c>
      <c r="H9" s="34" t="s">
        <v>12</v>
      </c>
    </row>
    <row r="10" spans="1:8" ht="15" customHeight="1" x14ac:dyDescent="0.3">
      <c r="A10" s="4"/>
      <c r="B10" s="87" t="s">
        <v>65</v>
      </c>
      <c r="C10" s="16" t="s">
        <v>64</v>
      </c>
      <c r="D10" s="17" t="s">
        <v>66</v>
      </c>
      <c r="E10" s="17">
        <v>1</v>
      </c>
      <c r="F10" s="17">
        <v>625</v>
      </c>
      <c r="G10" s="17">
        <f>E10*F10</f>
        <v>625</v>
      </c>
      <c r="H10" s="54" t="s">
        <v>12</v>
      </c>
    </row>
    <row r="11" spans="1:8" ht="15" customHeight="1" x14ac:dyDescent="0.3">
      <c r="A11" s="4"/>
      <c r="B11" s="27" t="s">
        <v>60</v>
      </c>
      <c r="C11" s="13" t="s">
        <v>61</v>
      </c>
      <c r="D11" s="14" t="s">
        <v>63</v>
      </c>
      <c r="E11" s="14">
        <v>1</v>
      </c>
      <c r="F11" s="14">
        <v>200</v>
      </c>
      <c r="G11" s="14">
        <f>E11*F11</f>
        <v>200</v>
      </c>
      <c r="H11" s="35" t="s">
        <v>12</v>
      </c>
    </row>
    <row r="12" spans="1:8" ht="15" customHeight="1" x14ac:dyDescent="0.3">
      <c r="A12" s="4"/>
      <c r="B12" s="27" t="s">
        <v>59</v>
      </c>
      <c r="C12" s="13" t="s">
        <v>62</v>
      </c>
      <c r="D12" s="14" t="s">
        <v>63</v>
      </c>
      <c r="E12" s="14">
        <v>1</v>
      </c>
      <c r="F12" s="14">
        <v>200</v>
      </c>
      <c r="G12" s="14">
        <f t="shared" si="0"/>
        <v>200</v>
      </c>
      <c r="H12" s="35" t="s">
        <v>12</v>
      </c>
    </row>
    <row r="13" spans="1:8" ht="15" customHeight="1" x14ac:dyDescent="0.3">
      <c r="A13" s="4"/>
      <c r="B13" s="87" t="s">
        <v>71</v>
      </c>
      <c r="C13" s="16" t="s">
        <v>72</v>
      </c>
      <c r="D13" s="89" t="s">
        <v>73</v>
      </c>
      <c r="E13" s="17">
        <v>1</v>
      </c>
      <c r="F13" s="17">
        <v>350</v>
      </c>
      <c r="G13" s="17">
        <v>350</v>
      </c>
      <c r="H13" s="35" t="s">
        <v>12</v>
      </c>
    </row>
    <row r="14" spans="1:8" ht="15" customHeight="1" x14ac:dyDescent="0.3">
      <c r="A14" s="4"/>
      <c r="B14" s="27" t="s">
        <v>13</v>
      </c>
      <c r="C14" s="13" t="s">
        <v>57</v>
      </c>
      <c r="D14" s="15" t="s">
        <v>14</v>
      </c>
      <c r="E14" s="14">
        <v>0</v>
      </c>
      <c r="F14" s="14">
        <v>23</v>
      </c>
      <c r="G14" s="14">
        <f t="shared" si="0"/>
        <v>0</v>
      </c>
      <c r="H14" s="35" t="s">
        <v>12</v>
      </c>
    </row>
    <row r="15" spans="1:8" ht="15" customHeight="1" x14ac:dyDescent="0.3">
      <c r="A15" s="4"/>
      <c r="B15" s="27" t="s">
        <v>15</v>
      </c>
      <c r="C15" s="13" t="s">
        <v>54</v>
      </c>
      <c r="D15" s="14" t="s">
        <v>16</v>
      </c>
      <c r="E15" s="14">
        <v>1</v>
      </c>
      <c r="F15" s="14">
        <v>1500</v>
      </c>
      <c r="G15" s="14">
        <v>1500</v>
      </c>
      <c r="H15" s="35" t="s">
        <v>12</v>
      </c>
    </row>
    <row r="16" spans="1:8" ht="15" customHeight="1" thickBot="1" x14ac:dyDescent="0.35">
      <c r="A16" s="6"/>
      <c r="B16" s="28" t="s">
        <v>55</v>
      </c>
      <c r="C16" s="29" t="s">
        <v>56</v>
      </c>
      <c r="D16" s="30" t="s">
        <v>58</v>
      </c>
      <c r="E16" s="30">
        <v>1</v>
      </c>
      <c r="F16" s="30">
        <v>5000</v>
      </c>
      <c r="G16" s="30">
        <v>5000</v>
      </c>
      <c r="H16" s="36" t="s">
        <v>12</v>
      </c>
    </row>
    <row r="17" spans="1:8" ht="15" customHeight="1" x14ac:dyDescent="0.3">
      <c r="A17" s="42"/>
      <c r="B17" s="12"/>
      <c r="C17" s="12"/>
      <c r="D17" s="22"/>
      <c r="E17" s="22"/>
      <c r="F17" s="22"/>
      <c r="G17" s="23"/>
      <c r="H17" s="23"/>
    </row>
    <row r="18" spans="1:8" ht="16.2" thickBot="1" x14ac:dyDescent="0.35">
      <c r="A18" s="47" t="s">
        <v>19</v>
      </c>
      <c r="B18" s="43"/>
      <c r="C18" s="11"/>
      <c r="D18" s="11"/>
      <c r="E18" s="11"/>
      <c r="F18" s="11"/>
      <c r="G18" s="41"/>
      <c r="H18" s="41"/>
    </row>
    <row r="19" spans="1:8" ht="15" customHeight="1" thickBot="1" x14ac:dyDescent="0.35">
      <c r="A19" s="4"/>
      <c r="B19" s="19" t="s">
        <v>6</v>
      </c>
      <c r="C19" s="19" t="s">
        <v>7</v>
      </c>
      <c r="D19" s="20" t="s">
        <v>8</v>
      </c>
      <c r="E19" s="19" t="s">
        <v>45</v>
      </c>
      <c r="F19" s="20" t="s">
        <v>9</v>
      </c>
      <c r="G19" s="20" t="s">
        <v>10</v>
      </c>
      <c r="H19" s="19" t="s">
        <v>11</v>
      </c>
    </row>
    <row r="20" spans="1:8" ht="15" customHeight="1" x14ac:dyDescent="0.3">
      <c r="A20" s="4"/>
      <c r="B20" s="27" t="s">
        <v>60</v>
      </c>
      <c r="C20" s="13" t="s">
        <v>61</v>
      </c>
      <c r="D20" s="14" t="s">
        <v>63</v>
      </c>
      <c r="E20" s="17">
        <v>1</v>
      </c>
      <c r="F20" s="17">
        <v>200</v>
      </c>
      <c r="G20" s="17">
        <f t="shared" ref="G20" si="1">E20*F20</f>
        <v>200</v>
      </c>
      <c r="H20" s="17" t="s">
        <v>12</v>
      </c>
    </row>
    <row r="21" spans="1:8" ht="15" customHeight="1" x14ac:dyDescent="0.3">
      <c r="A21" s="4"/>
      <c r="B21" s="27" t="s">
        <v>59</v>
      </c>
      <c r="C21" s="13" t="s">
        <v>62</v>
      </c>
      <c r="D21" s="14" t="s">
        <v>63</v>
      </c>
      <c r="E21" s="17">
        <v>1</v>
      </c>
      <c r="F21" s="14">
        <v>200</v>
      </c>
      <c r="G21" s="14">
        <v>200</v>
      </c>
      <c r="H21" s="17" t="s">
        <v>12</v>
      </c>
    </row>
    <row r="22" spans="1:8" ht="15" customHeight="1" x14ac:dyDescent="0.3">
      <c r="A22" s="4"/>
      <c r="B22" s="87" t="s">
        <v>71</v>
      </c>
      <c r="C22" s="16" t="s">
        <v>72</v>
      </c>
      <c r="D22" s="89" t="s">
        <v>73</v>
      </c>
      <c r="E22" s="17">
        <v>1</v>
      </c>
      <c r="F22" s="17">
        <v>350</v>
      </c>
      <c r="G22" s="17">
        <v>350</v>
      </c>
      <c r="H22" s="17" t="s">
        <v>12</v>
      </c>
    </row>
    <row r="23" spans="1:8" ht="15" customHeight="1" x14ac:dyDescent="0.3">
      <c r="A23" s="4"/>
      <c r="B23" s="87" t="s">
        <v>65</v>
      </c>
      <c r="C23" s="16" t="s">
        <v>64</v>
      </c>
      <c r="D23" s="17" t="s">
        <v>66</v>
      </c>
      <c r="E23" s="17">
        <v>1</v>
      </c>
      <c r="F23" s="17">
        <v>200</v>
      </c>
      <c r="G23" s="17">
        <v>200</v>
      </c>
      <c r="H23" s="17" t="s">
        <v>12</v>
      </c>
    </row>
    <row r="24" spans="1:8" ht="15" customHeight="1" x14ac:dyDescent="0.3">
      <c r="A24" s="4"/>
      <c r="B24" s="21"/>
      <c r="C24" s="21"/>
      <c r="D24" s="104" t="s">
        <v>17</v>
      </c>
      <c r="E24" s="104"/>
      <c r="F24" s="104"/>
      <c r="G24" s="17">
        <f>SUM(G20:G23)</f>
        <v>950</v>
      </c>
      <c r="H24" s="17" t="s">
        <v>12</v>
      </c>
    </row>
    <row r="25" spans="1:8" ht="15" customHeight="1" thickBot="1" x14ac:dyDescent="0.35">
      <c r="A25" s="7"/>
      <c r="D25" s="105" t="s">
        <v>18</v>
      </c>
      <c r="E25" s="105"/>
      <c r="F25" s="105"/>
      <c r="G25" s="39">
        <v>0.25</v>
      </c>
      <c r="H25" s="39"/>
    </row>
    <row r="26" spans="1:8" ht="15" customHeight="1" thickTop="1" x14ac:dyDescent="0.3">
      <c r="A26" s="8"/>
      <c r="D26" s="104" t="s">
        <v>20</v>
      </c>
      <c r="E26" s="104"/>
      <c r="F26" s="104"/>
      <c r="G26" s="17">
        <f>G24*(1+G25)</f>
        <v>1187.5</v>
      </c>
      <c r="H26" s="17" t="s">
        <v>12</v>
      </c>
    </row>
    <row r="27" spans="1:8" ht="15" customHeight="1" thickBot="1" x14ac:dyDescent="0.35">
      <c r="A27" s="46" t="s">
        <v>46</v>
      </c>
      <c r="B27" s="40"/>
      <c r="C27" s="40"/>
      <c r="D27" s="41"/>
      <c r="E27" s="41"/>
      <c r="F27" s="41"/>
      <c r="G27" s="9"/>
      <c r="H27" s="9"/>
    </row>
    <row r="28" spans="1:8" ht="15" customHeight="1" thickTop="1" thickBot="1" x14ac:dyDescent="0.35">
      <c r="A28" s="42"/>
      <c r="B28" s="45" t="s">
        <v>21</v>
      </c>
      <c r="C28" s="45" t="s">
        <v>54</v>
      </c>
      <c r="D28" s="38" t="s">
        <v>16</v>
      </c>
      <c r="E28" s="38">
        <v>1</v>
      </c>
      <c r="F28" s="38">
        <v>1500</v>
      </c>
      <c r="G28" s="38">
        <f>E28*F28</f>
        <v>1500</v>
      </c>
      <c r="H28" s="38" t="s">
        <v>12</v>
      </c>
    </row>
    <row r="29" spans="1:8" ht="15" customHeight="1" thickTop="1" x14ac:dyDescent="0.3">
      <c r="A29" s="59"/>
      <c r="B29" s="106" t="s">
        <v>23</v>
      </c>
      <c r="C29" s="106"/>
      <c r="D29" s="106"/>
      <c r="E29" s="106"/>
      <c r="F29" s="106"/>
      <c r="G29" s="17">
        <f>G28-G26</f>
        <v>312.5</v>
      </c>
      <c r="H29" s="17" t="s">
        <v>12</v>
      </c>
    </row>
    <row r="30" spans="1:8" s="21" customFormat="1" ht="15" customHeight="1" thickBot="1" x14ac:dyDescent="0.35">
      <c r="A30" s="78"/>
      <c r="B30" s="60"/>
      <c r="C30" s="61"/>
      <c r="D30" s="61"/>
      <c r="E30" s="61"/>
      <c r="F30" s="61"/>
      <c r="G30" s="62"/>
      <c r="H30" s="62"/>
    </row>
    <row r="31" spans="1:8" ht="47.4" thickBot="1" x14ac:dyDescent="0.35">
      <c r="A31" s="49" t="s">
        <v>24</v>
      </c>
      <c r="B31" s="50" t="s">
        <v>6</v>
      </c>
      <c r="C31" s="50" t="s">
        <v>7</v>
      </c>
      <c r="D31" s="51" t="s">
        <v>8</v>
      </c>
      <c r="E31" s="51" t="s">
        <v>25</v>
      </c>
      <c r="F31" s="51" t="s">
        <v>9</v>
      </c>
      <c r="G31" s="51" t="s">
        <v>10</v>
      </c>
      <c r="H31" s="52" t="s">
        <v>11</v>
      </c>
    </row>
    <row r="32" spans="1:8" ht="15" customHeight="1" x14ac:dyDescent="0.3">
      <c r="A32" s="53" t="s">
        <v>26</v>
      </c>
      <c r="B32" s="48" t="s">
        <v>27</v>
      </c>
      <c r="C32" s="17">
        <v>930</v>
      </c>
      <c r="D32" s="17" t="s">
        <v>28</v>
      </c>
      <c r="E32" s="89" t="s">
        <v>69</v>
      </c>
      <c r="F32" s="17">
        <v>3000</v>
      </c>
      <c r="G32" s="17">
        <v>3000</v>
      </c>
      <c r="H32" s="54" t="s">
        <v>12</v>
      </c>
    </row>
    <row r="33" spans="1:10" ht="15" customHeight="1" x14ac:dyDescent="0.3">
      <c r="A33" s="107" t="s">
        <v>29</v>
      </c>
      <c r="B33" s="44" t="s">
        <v>21</v>
      </c>
      <c r="C33" s="44" t="s">
        <v>22</v>
      </c>
      <c r="D33" s="14" t="s">
        <v>16</v>
      </c>
      <c r="E33" s="14">
        <v>1</v>
      </c>
      <c r="F33" s="14">
        <v>1500</v>
      </c>
      <c r="G33" s="14">
        <f t="shared" ref="G33" si="2">E33*F33</f>
        <v>1500</v>
      </c>
      <c r="H33" s="35" t="s">
        <v>12</v>
      </c>
    </row>
    <row r="34" spans="1:10" ht="15" customHeight="1" thickBot="1" x14ac:dyDescent="0.35">
      <c r="A34" s="108"/>
      <c r="B34" s="91" t="s">
        <v>30</v>
      </c>
      <c r="C34" s="92"/>
      <c r="D34" s="92"/>
      <c r="E34" s="92"/>
      <c r="F34" s="93"/>
      <c r="G34" s="30">
        <f>G32-SUM(G33:G33)</f>
        <v>1500</v>
      </c>
      <c r="H34" s="36" t="s">
        <v>12</v>
      </c>
    </row>
    <row r="35" spans="1:10" ht="15" customHeight="1" x14ac:dyDescent="0.3">
      <c r="A35" s="108"/>
      <c r="B35" s="43"/>
      <c r="C35" s="43"/>
      <c r="D35" s="43"/>
      <c r="E35" s="43"/>
      <c r="F35" s="43"/>
      <c r="G35" s="41"/>
      <c r="H35" s="41"/>
    </row>
    <row r="36" spans="1:10" ht="15" customHeight="1" thickBot="1" x14ac:dyDescent="0.35">
      <c r="A36" s="109"/>
      <c r="C36" s="90"/>
      <c r="D36" s="90"/>
      <c r="E36" s="90"/>
      <c r="F36" s="90"/>
      <c r="G36" s="90"/>
      <c r="H36" s="41"/>
    </row>
    <row r="37" spans="1:10" ht="16.2" thickBot="1" x14ac:dyDescent="0.35">
      <c r="C37" s="21"/>
      <c r="D37" s="21"/>
      <c r="E37" s="21"/>
      <c r="F37" s="21"/>
      <c r="G37" s="21"/>
      <c r="H37" s="22"/>
    </row>
    <row r="38" spans="1:10" ht="15" customHeight="1" thickBot="1" x14ac:dyDescent="0.35">
      <c r="A38" s="49" t="s">
        <v>31</v>
      </c>
      <c r="B38" s="50" t="s">
        <v>6</v>
      </c>
      <c r="C38" s="50" t="s">
        <v>7</v>
      </c>
      <c r="D38" s="51" t="s">
        <v>8</v>
      </c>
      <c r="E38" s="51" t="s">
        <v>25</v>
      </c>
      <c r="F38" s="51" t="s">
        <v>9</v>
      </c>
      <c r="G38" s="51" t="s">
        <v>10</v>
      </c>
      <c r="H38" s="52" t="s">
        <v>11</v>
      </c>
    </row>
    <row r="39" spans="1:10" ht="15" customHeight="1" x14ac:dyDescent="0.3">
      <c r="A39" s="53" t="s">
        <v>32</v>
      </c>
      <c r="B39" s="48" t="s">
        <v>33</v>
      </c>
      <c r="C39" s="17" t="s">
        <v>67</v>
      </c>
      <c r="D39" s="17" t="s">
        <v>34</v>
      </c>
      <c r="E39" s="89" t="s">
        <v>69</v>
      </c>
      <c r="F39" s="17">
        <v>300</v>
      </c>
      <c r="G39" s="17">
        <v>500</v>
      </c>
      <c r="H39" s="54" t="s">
        <v>12</v>
      </c>
      <c r="I39" s="21"/>
    </row>
    <row r="40" spans="1:10" ht="15.6" x14ac:dyDescent="0.3">
      <c r="A40" s="55"/>
      <c r="B40" s="44"/>
      <c r="C40" s="44"/>
      <c r="D40" s="14"/>
      <c r="E40" s="14"/>
      <c r="F40" s="14"/>
      <c r="G40" s="14"/>
      <c r="H40" s="35"/>
    </row>
    <row r="41" spans="1:10" ht="15" customHeight="1" x14ac:dyDescent="0.3">
      <c r="A41" s="99" t="s">
        <v>36</v>
      </c>
      <c r="B41" s="44" t="s">
        <v>70</v>
      </c>
      <c r="C41" s="44" t="s">
        <v>54</v>
      </c>
      <c r="D41" s="14" t="s">
        <v>16</v>
      </c>
      <c r="E41" s="14">
        <v>1</v>
      </c>
      <c r="F41" s="14">
        <v>1500</v>
      </c>
      <c r="G41" s="14">
        <f>E41*F41</f>
        <v>1500</v>
      </c>
      <c r="H41" s="35" t="s">
        <v>12</v>
      </c>
      <c r="J41" s="21"/>
    </row>
    <row r="42" spans="1:10" ht="15" customHeight="1" x14ac:dyDescent="0.3">
      <c r="A42" s="100"/>
      <c r="B42" s="44"/>
      <c r="C42" s="44"/>
      <c r="D42" s="14"/>
      <c r="E42" s="14"/>
      <c r="F42" s="14"/>
      <c r="G42" s="14"/>
      <c r="H42" s="35"/>
    </row>
    <row r="43" spans="1:10" ht="15" customHeight="1" thickBot="1" x14ac:dyDescent="0.35">
      <c r="A43" s="101"/>
      <c r="B43" s="37"/>
      <c r="C43" s="37"/>
      <c r="D43" s="38"/>
      <c r="E43" s="38"/>
      <c r="F43" s="38"/>
      <c r="G43" s="38"/>
      <c r="H43" s="56"/>
    </row>
    <row r="44" spans="1:10" ht="15" customHeight="1" thickTop="1" thickBot="1" x14ac:dyDescent="0.35">
      <c r="A44" s="63"/>
      <c r="B44" s="102" t="s">
        <v>37</v>
      </c>
      <c r="C44" s="103"/>
      <c r="D44" s="103"/>
      <c r="E44" s="103"/>
      <c r="F44" s="103"/>
      <c r="G44" s="57">
        <f>G39-SUM(G41:G43)</f>
        <v>-1000</v>
      </c>
      <c r="H44" s="58" t="s">
        <v>12</v>
      </c>
    </row>
    <row r="45" spans="1:10" ht="15" customHeight="1" thickBot="1" x14ac:dyDescent="0.35">
      <c r="A45" s="7"/>
      <c r="B45" s="21"/>
      <c r="C45" s="21"/>
      <c r="D45" s="11"/>
      <c r="E45" s="41"/>
      <c r="F45" s="41"/>
      <c r="G45" s="41"/>
      <c r="H45" s="41"/>
    </row>
    <row r="46" spans="1:10" ht="15" customHeight="1" x14ac:dyDescent="0.3">
      <c r="A46" s="83" t="s">
        <v>50</v>
      </c>
      <c r="B46" s="84"/>
      <c r="C46" s="84"/>
      <c r="D46" s="84"/>
      <c r="E46" s="84"/>
      <c r="F46" s="84"/>
      <c r="G46" s="67"/>
      <c r="H46" s="68"/>
    </row>
    <row r="47" spans="1:10" ht="15" customHeight="1" x14ac:dyDescent="0.3">
      <c r="A47" s="75"/>
      <c r="B47" s="76" t="s">
        <v>6</v>
      </c>
      <c r="C47" s="76" t="s">
        <v>7</v>
      </c>
      <c r="D47" s="33" t="s">
        <v>8</v>
      </c>
      <c r="E47" s="32"/>
      <c r="F47" s="33" t="s">
        <v>38</v>
      </c>
      <c r="G47" s="33" t="s">
        <v>39</v>
      </c>
      <c r="H47" s="77"/>
    </row>
    <row r="48" spans="1:10" ht="15" customHeight="1" thickBot="1" x14ac:dyDescent="0.35">
      <c r="A48" s="69"/>
      <c r="B48" s="37" t="s">
        <v>33</v>
      </c>
      <c r="C48" s="37" t="s">
        <v>67</v>
      </c>
      <c r="D48" s="38" t="s">
        <v>34</v>
      </c>
      <c r="E48" s="38"/>
      <c r="F48" s="38">
        <v>614</v>
      </c>
      <c r="G48" s="38">
        <f>SUM(G41:G43)</f>
        <v>1500</v>
      </c>
      <c r="H48" s="56"/>
      <c r="I48" s="21"/>
    </row>
    <row r="49" spans="1:8" ht="16.8" thickTop="1" thickBot="1" x14ac:dyDescent="0.35">
      <c r="A49" s="70"/>
      <c r="B49" s="66"/>
      <c r="C49" s="66"/>
      <c r="D49" s="71"/>
      <c r="E49" s="71"/>
      <c r="F49" s="72" t="s">
        <v>40</v>
      </c>
      <c r="G49" s="73">
        <f>F48/G48</f>
        <v>0.40933333333333333</v>
      </c>
      <c r="H49" s="74" t="s">
        <v>41</v>
      </c>
    </row>
    <row r="50" spans="1:8" ht="15" customHeight="1" thickBot="1" x14ac:dyDescent="0.35">
      <c r="A50" s="21"/>
      <c r="D50" s="5"/>
      <c r="E50" s="5"/>
      <c r="F50" s="31"/>
      <c r="G50" s="41"/>
      <c r="H50" s="41"/>
    </row>
    <row r="51" spans="1:8" ht="15" customHeight="1" x14ac:dyDescent="0.3">
      <c r="A51" s="85" t="s">
        <v>49</v>
      </c>
      <c r="B51" s="86"/>
      <c r="C51" s="86"/>
      <c r="D51" s="86"/>
      <c r="E51" s="86"/>
      <c r="F51" s="86"/>
      <c r="G51" s="64"/>
      <c r="H51" s="65"/>
    </row>
    <row r="52" spans="1:8" ht="15" customHeight="1" x14ac:dyDescent="0.3">
      <c r="A52" s="79" t="s">
        <v>42</v>
      </c>
      <c r="B52" s="21"/>
      <c r="C52" s="21"/>
      <c r="D52" s="21"/>
      <c r="E52" s="21"/>
      <c r="F52" s="21"/>
      <c r="G52" s="21"/>
      <c r="H52" s="80"/>
    </row>
    <row r="53" spans="1:8" ht="15" customHeight="1" thickBot="1" x14ac:dyDescent="0.35">
      <c r="A53" s="81" t="s">
        <v>43</v>
      </c>
      <c r="B53" s="66"/>
      <c r="C53" s="66"/>
      <c r="D53" s="66"/>
      <c r="E53" s="66"/>
      <c r="F53" s="66"/>
      <c r="G53" s="66"/>
      <c r="H53" s="82"/>
    </row>
    <row r="54" spans="1:8" ht="15" customHeight="1" x14ac:dyDescent="0.3"/>
    <row r="55" spans="1:8" ht="15" customHeight="1" x14ac:dyDescent="0.3"/>
  </sheetData>
  <mergeCells count="9">
    <mergeCell ref="A1:H1"/>
    <mergeCell ref="A7:H7"/>
    <mergeCell ref="A41:A43"/>
    <mergeCell ref="B44:F44"/>
    <mergeCell ref="D24:F24"/>
    <mergeCell ref="D25:F25"/>
    <mergeCell ref="B29:F29"/>
    <mergeCell ref="D26:F26"/>
    <mergeCell ref="A33:A36"/>
  </mergeCells>
  <conditionalFormatting sqref="G18 G29:G30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2" manualBreakCount="2">
    <brk id="16" max="7" man="1"/>
    <brk id="29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Stellan Smith-Rel (Student)</cp:lastModifiedBy>
  <cp:lastPrinted>2025-08-22T22:55:28Z</cp:lastPrinted>
  <dcterms:created xsi:type="dcterms:W3CDTF">2026-10-21T21:42:26Z</dcterms:created>
  <dcterms:modified xsi:type="dcterms:W3CDTF">2026-10-31T02:33:21Z</dcterms:modified>
</cp:coreProperties>
</file>